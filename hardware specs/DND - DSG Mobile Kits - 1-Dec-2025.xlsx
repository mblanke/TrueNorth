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 checkCompatibility="1"/>
  <mc:AlternateContent xmlns:mc="http://schemas.openxmlformats.org/markup-compatibility/2006">
    <mc:Choice Requires="x15">
      <x15ac:absPath xmlns:x15ac="http://schemas.microsoft.com/office/spreadsheetml/2010/11/ac" url="/Users/cforbes/Documents/NetApp/PISA/no Partner/"/>
    </mc:Choice>
  </mc:AlternateContent>
  <xr:revisionPtr revIDLastSave="0" documentId="13_ncr:1_{11A1CA57-0F2C-3946-8511-0023258E580D}" xr6:coauthVersionLast="47" xr6:coauthVersionMax="47" xr10:uidLastSave="{00000000-0000-0000-0000-000000000000}"/>
  <bookViews>
    <workbookView xWindow="9760" yWindow="4240" windowWidth="34620" windowHeight="22000" tabRatio="500" xr2:uid="{00000000-000D-0000-FFFF-FFFF00000000}"/>
  </bookViews>
  <sheets>
    <sheet name="Quote" sheetId="1" r:id="rId1"/>
  </sheets>
  <definedNames>
    <definedName name="_xlnm.Print_Titles" localSheetId="0">Quote!$1:$13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8" i="1" l="1"/>
  <c r="I28" i="1"/>
  <c r="J28" i="1" s="1"/>
  <c r="G28" i="1"/>
  <c r="M28" i="1" s="1"/>
  <c r="L27" i="1"/>
  <c r="I27" i="1"/>
  <c r="J27" i="1" s="1"/>
  <c r="G27" i="1"/>
  <c r="M27" i="1" s="1"/>
  <c r="L26" i="1"/>
  <c r="I26" i="1"/>
  <c r="J26" i="1" s="1"/>
  <c r="G26" i="1"/>
  <c r="M26" i="1" s="1"/>
  <c r="L25" i="1"/>
  <c r="I25" i="1"/>
  <c r="J25" i="1" s="1"/>
  <c r="G25" i="1"/>
  <c r="M25" i="1" s="1"/>
  <c r="L24" i="1"/>
  <c r="I24" i="1"/>
  <c r="J24" i="1" s="1"/>
  <c r="G24" i="1"/>
  <c r="M24" i="1" s="1"/>
  <c r="L23" i="1"/>
  <c r="I23" i="1"/>
  <c r="J23" i="1" s="1"/>
  <c r="G23" i="1"/>
  <c r="M23" i="1" s="1"/>
  <c r="L22" i="1"/>
  <c r="I22" i="1"/>
  <c r="J22" i="1" s="1"/>
  <c r="G22" i="1"/>
  <c r="M22" i="1" s="1"/>
  <c r="L21" i="1"/>
  <c r="I21" i="1"/>
  <c r="J21" i="1" s="1"/>
  <c r="G21" i="1"/>
  <c r="M21" i="1" s="1"/>
  <c r="L20" i="1"/>
  <c r="I20" i="1"/>
  <c r="J20" i="1" s="1"/>
  <c r="G20" i="1"/>
  <c r="M20" i="1" s="1"/>
  <c r="L34" i="1" l="1"/>
  <c r="L33" i="1"/>
  <c r="L32" i="1"/>
  <c r="L31" i="1"/>
  <c r="L30" i="1"/>
  <c r="L29" i="1"/>
  <c r="L19" i="1"/>
  <c r="L18" i="1"/>
  <c r="L17" i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19" i="1"/>
  <c r="J19" i="1" s="1"/>
  <c r="I18" i="1"/>
  <c r="J18" i="1" s="1"/>
  <c r="I17" i="1"/>
  <c r="J17" i="1" s="1"/>
  <c r="M42" i="1" l="1"/>
  <c r="G34" i="1"/>
  <c r="G33" i="1"/>
  <c r="M33" i="1" s="1"/>
  <c r="G32" i="1"/>
  <c r="G31" i="1"/>
  <c r="G30" i="1"/>
  <c r="M30" i="1" s="1"/>
  <c r="G29" i="1"/>
  <c r="M29" i="1" s="1"/>
  <c r="G19" i="1"/>
  <c r="M19" i="1" l="1"/>
  <c r="M31" i="1"/>
  <c r="M32" i="1"/>
  <c r="M34" i="1"/>
  <c r="G18" i="1"/>
  <c r="M18" i="1" s="1"/>
  <c r="G17" i="1"/>
  <c r="G35" i="1" s="1"/>
  <c r="M41" i="1" s="1"/>
  <c r="M17" i="1" l="1"/>
  <c r="M35" i="1" s="1"/>
  <c r="M44" i="1" s="1"/>
  <c r="M45" i="1" l="1"/>
  <c r="M47" i="1" s="1"/>
</calcChain>
</file>

<file path=xl/sharedStrings.xml><?xml version="1.0" encoding="utf-8"?>
<sst xmlns="http://schemas.openxmlformats.org/spreadsheetml/2006/main" count="85" uniqueCount="80">
  <si>
    <t>Part Number</t>
  </si>
  <si>
    <t>Product</t>
  </si>
  <si>
    <t>Qty</t>
  </si>
  <si>
    <t>Ext List Price</t>
  </si>
  <si>
    <t>Quote Name</t>
  </si>
  <si>
    <t>Quote Number</t>
  </si>
  <si>
    <t>NetApp Canada Ltd.  10070747-007</t>
  </si>
  <si>
    <t>Authorized Agent</t>
  </si>
  <si>
    <t>Contact Info</t>
  </si>
  <si>
    <t xml:space="preserve"> Total Ext Price: </t>
  </si>
  <si>
    <t>Total</t>
  </si>
  <si>
    <t>Total List Price:</t>
  </si>
  <si>
    <t>PISA One Time Discount</t>
  </si>
  <si>
    <t>SupportEdge Advisor</t>
  </si>
  <si>
    <t>Maintenance Period 5 Years</t>
  </si>
  <si>
    <t>Contact Name:</t>
  </si>
  <si>
    <t>Contact Address:</t>
  </si>
  <si>
    <t>60 Moodie Dr, Bldg 7 N, Nepean, Ontario K2H 8G1</t>
  </si>
  <si>
    <t>Chris Forbes, chris.forbes@netapp.com, 613-808-6788</t>
  </si>
  <si>
    <t>Date:</t>
  </si>
  <si>
    <t>DATA-AT-REST-ENCRYPTION</t>
  </si>
  <si>
    <t>Data at Rest Encryption Capable Operating Sys</t>
  </si>
  <si>
    <t>IO Module,2PT,100GbE,-C</t>
  </si>
  <si>
    <t>X800-42U-R6-C</t>
  </si>
  <si>
    <t>Jumper Crd,In-Cab,C13-C14,-C</t>
  </si>
  <si>
    <t>Total Price:</t>
  </si>
  <si>
    <t>Quote Expiry:</t>
  </si>
  <si>
    <t>Curreny:</t>
  </si>
  <si>
    <t>CAD</t>
  </si>
  <si>
    <t>On Time PISA Discounted Price:</t>
  </si>
  <si>
    <t>Category</t>
  </si>
  <si>
    <t>Hardware</t>
  </si>
  <si>
    <t>Software</t>
  </si>
  <si>
    <t>Support</t>
  </si>
  <si>
    <t>System</t>
  </si>
  <si>
    <t>Unit List Price</t>
  </si>
  <si>
    <t>Discount</t>
  </si>
  <si>
    <t>Unit Discounted Price</t>
  </si>
  <si>
    <t>Ext Discounted Price</t>
  </si>
  <si>
    <t>PISA One Time Unit Discounted Price</t>
  </si>
  <si>
    <t>PISA One Time Ext Discounted Price</t>
  </si>
  <si>
    <t>Taxes (13%):</t>
  </si>
  <si>
    <t>List Price Total:</t>
  </si>
  <si>
    <t>X5532A-N-C</t>
  </si>
  <si>
    <t>Rail,4-Post,Thin,Rnd/Sq-Hole,Sm,Adj,24-32,-C</t>
  </si>
  <si>
    <t>X97602A-C</t>
  </si>
  <si>
    <t>Power Supply,1600W,Titanium,-C</t>
  </si>
  <si>
    <t>Non-Returnable Drives (HDDs,SSDs)</t>
  </si>
  <si>
    <t>X60130A-C</t>
  </si>
  <si>
    <t>4hr Parts Replacement</t>
  </si>
  <si>
    <t>Discounted Price Total:</t>
  </si>
  <si>
    <t>DND - DSG Mobile Kits</t>
  </si>
  <si>
    <t>AFF-A50</t>
  </si>
  <si>
    <t>AFF A50,Model</t>
  </si>
  <si>
    <t>AFF-A50-001</t>
  </si>
  <si>
    <t>AFF A50 HA System</t>
  </si>
  <si>
    <t>AFF-A50A-100-C</t>
  </si>
  <si>
    <t>AFF A50 HA System,-C</t>
  </si>
  <si>
    <t>X4028A-2-A-C</t>
  </si>
  <si>
    <t>Drive Pack 2X15.3TB,NVMe4,SED,-C</t>
  </si>
  <si>
    <t>SW-ONTAPO-FLASH-A50-C</t>
  </si>
  <si>
    <t>SW,ONTAP One Package,Per TB,Flash,A50,-C</t>
  </si>
  <si>
    <t>X60132A-C</t>
  </si>
  <si>
    <t>IO Module,4PT,10/25GbE,-C</t>
  </si>
  <si>
    <t>X66211A-05-N-C</t>
  </si>
  <si>
    <t>Cable,100GbE,QSFP28-QSFP28,Cu,0.5m,-C</t>
  </si>
  <si>
    <t>X66211B-2-N-C</t>
  </si>
  <si>
    <t>Cable,100GbE,QSFP28-QSFP28,Cu,2m,-C</t>
  </si>
  <si>
    <t>X66240A-2-N-C</t>
  </si>
  <si>
    <t>Cable,25GbE,SFP28-SFP28,Cu,2m,-C</t>
  </si>
  <si>
    <t>CS-G1A-SE-ADVISOR</t>
  </si>
  <si>
    <t>CS-4HR-REPLACEMENT-A</t>
  </si>
  <si>
    <t>CS-NON-RETURNABLE-DRIVE-A</t>
  </si>
  <si>
    <t>SW-S3-SM-ONTAP-ONE</t>
  </si>
  <si>
    <t>Software,ONTAP One</t>
  </si>
  <si>
    <t>SW-SMIRROR-CLD-ONTAP-ONE</t>
  </si>
  <si>
    <t>Software,SnapMirror Cloud,ONTAP One</t>
  </si>
  <si>
    <t>PS-TMS-CONSLT-DAY-TE-ZB</t>
  </si>
  <si>
    <t>Prepaid days TE, PO Exp @ 1yr,no refund</t>
  </si>
  <si>
    <t>2 x NetApp AFF A50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</si>
</sst>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1009]mmmm\ d\,\ yyyy;@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ptos"/>
    </font>
    <font>
      <b/>
      <sz val="12"/>
      <color theme="0"/>
      <name val="Aptos"/>
    </font>
    <font>
      <b/>
      <sz val="12"/>
      <color theme="1"/>
      <name val="Aptos"/>
    </font>
    <font>
      <sz val="12"/>
      <color rgb="FF000000"/>
      <name val="Aptos"/>
    </font>
    <font>
      <sz val="12"/>
      <name val="Aptos"/>
    </font>
    <font>
      <b/>
      <sz val="12"/>
      <name val="Aptos"/>
    </font>
    <font>
      <sz val="12"/>
      <color rgb="FFFF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164" fontId="7" fillId="4" borderId="0" xfId="1" applyFont="1" applyFill="1"/>
    <xf numFmtId="0" fontId="6" fillId="4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5" borderId="0" xfId="0" applyFont="1" applyFill="1"/>
    <xf numFmtId="0" fontId="7" fillId="5" borderId="0" xfId="0" applyFont="1" applyFill="1" applyAlignment="1">
      <alignment horizontal="center"/>
    </xf>
    <xf numFmtId="164" fontId="7" fillId="5" borderId="0" xfId="1" applyFont="1" applyFill="1"/>
    <xf numFmtId="0" fontId="6" fillId="5" borderId="0" xfId="0" applyFont="1" applyFill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1" xfId="1" applyFont="1" applyBorder="1"/>
    <xf numFmtId="9" fontId="9" fillId="0" borderId="1" xfId="0" applyNumberFormat="1" applyFont="1" applyBorder="1" applyAlignment="1">
      <alignment horizontal="center"/>
    </xf>
    <xf numFmtId="10" fontId="9" fillId="0" borderId="1" xfId="0" applyNumberFormat="1" applyFont="1" applyBorder="1" applyAlignment="1">
      <alignment horizontal="center"/>
    </xf>
    <xf numFmtId="44" fontId="8" fillId="0" borderId="0" xfId="0" applyNumberFormat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64" fontId="10" fillId="0" borderId="0" xfId="1" applyFont="1" applyBorder="1"/>
    <xf numFmtId="9" fontId="10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right"/>
    </xf>
    <xf numFmtId="164" fontId="11" fillId="0" borderId="0" xfId="1" applyFont="1" applyBorder="1"/>
    <xf numFmtId="10" fontId="10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6" fillId="2" borderId="0" xfId="0" applyFont="1" applyFill="1"/>
    <xf numFmtId="164" fontId="8" fillId="0" borderId="0" xfId="1" applyFont="1" applyAlignment="1">
      <alignment horizontal="right"/>
    </xf>
    <xf numFmtId="44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8" fillId="0" borderId="0" xfId="0" applyFont="1" applyAlignment="1">
      <alignment horizontal="right"/>
    </xf>
    <xf numFmtId="164" fontId="12" fillId="0" borderId="0" xfId="1" applyFont="1"/>
    <xf numFmtId="44" fontId="10" fillId="0" borderId="2" xfId="0" applyNumberFormat="1" applyFont="1" applyBorder="1" applyAlignment="1">
      <alignment horizontal="right"/>
    </xf>
    <xf numFmtId="164" fontId="6" fillId="0" borderId="0" xfId="0" applyNumberFormat="1" applyFont="1"/>
    <xf numFmtId="164" fontId="8" fillId="3" borderId="1" xfId="1" applyFont="1" applyFill="1" applyBorder="1" applyAlignment="1">
      <alignment horizontal="center" vertical="center" wrapText="1"/>
    </xf>
    <xf numFmtId="164" fontId="11" fillId="0" borderId="0" xfId="1" applyFont="1" applyBorder="1" applyAlignment="1">
      <alignment horizontal="right"/>
    </xf>
    <xf numFmtId="0" fontId="2" fillId="0" borderId="0" xfId="0" applyFont="1" applyAlignment="1">
      <alignment horizontal="center"/>
    </xf>
  </cellXfs>
  <cellStyles count="6">
    <cellStyle name="Currency" xfId="1" builtinId="4"/>
    <cellStyle name="Followed Hyperlink" xfId="3" builtinId="9" hidden="1"/>
    <cellStyle name="Followed Hyperlink" xfId="4" builtinId="9" hidden="1"/>
    <cellStyle name="Followed Hyperlink" xfId="5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12700</xdr:rowOff>
    </xdr:from>
    <xdr:to>
      <xdr:col>1</xdr:col>
      <xdr:colOff>1290251</xdr:colOff>
      <xdr:row>0</xdr:row>
      <xdr:rowOff>1016000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2700"/>
          <a:ext cx="921951" cy="100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0"/>
  <sheetViews>
    <sheetView tabSelected="1" workbookViewId="0">
      <selection activeCell="B15" sqref="B15"/>
    </sheetView>
  </sheetViews>
  <sheetFormatPr baseColWidth="10" defaultRowHeight="16" x14ac:dyDescent="0.2"/>
  <cols>
    <col min="1" max="1" width="2.5" customWidth="1"/>
    <col min="2" max="2" width="29.83203125" bestFit="1" customWidth="1"/>
    <col min="3" max="3" width="93" customWidth="1"/>
    <col min="4" max="4" width="6.1640625" style="2" bestFit="1" customWidth="1"/>
    <col min="5" max="5" width="12.83203125" style="2" customWidth="1"/>
    <col min="6" max="7" width="16.83203125" style="1" customWidth="1"/>
    <col min="8" max="8" width="10" style="2" customWidth="1"/>
    <col min="9" max="9" width="16.83203125" style="2" customWidth="1"/>
    <col min="10" max="13" width="16.83203125" customWidth="1"/>
    <col min="15" max="15" width="12.5" bestFit="1" customWidth="1"/>
  </cols>
  <sheetData>
    <row r="1" spans="2:13" ht="93" customHeight="1" x14ac:dyDescent="0.3">
      <c r="C1" s="47" t="s">
        <v>6</v>
      </c>
      <c r="D1" s="47"/>
      <c r="E1" s="47"/>
      <c r="F1" s="47"/>
      <c r="G1" s="47"/>
    </row>
    <row r="2" spans="2:13" s="4" customFormat="1" x14ac:dyDescent="0.2">
      <c r="B2" s="4" t="s">
        <v>4</v>
      </c>
      <c r="C2" s="4" t="s">
        <v>51</v>
      </c>
      <c r="D2" s="5"/>
      <c r="E2" s="5"/>
      <c r="F2" s="6"/>
      <c r="G2" s="6"/>
      <c r="H2" s="5"/>
      <c r="I2" s="5"/>
    </row>
    <row r="3" spans="2:13" s="4" customFormat="1" x14ac:dyDescent="0.2">
      <c r="B3" s="4" t="s">
        <v>15</v>
      </c>
      <c r="D3" s="5"/>
      <c r="E3" s="5"/>
      <c r="F3" s="6"/>
      <c r="G3" s="6"/>
      <c r="H3" s="5"/>
      <c r="I3" s="5"/>
    </row>
    <row r="4" spans="2:13" s="4" customFormat="1" x14ac:dyDescent="0.2">
      <c r="B4" s="4" t="s">
        <v>16</v>
      </c>
      <c r="C4" s="4" t="s">
        <v>17</v>
      </c>
      <c r="D4" s="5"/>
      <c r="E4" s="5"/>
      <c r="F4" s="6"/>
      <c r="G4" s="6"/>
      <c r="H4" s="5"/>
      <c r="I4" s="5"/>
    </row>
    <row r="5" spans="2:13" s="4" customFormat="1" x14ac:dyDescent="0.2">
      <c r="B5" s="4" t="s">
        <v>5</v>
      </c>
      <c r="C5" s="7"/>
      <c r="D5" s="5"/>
      <c r="E5" s="5"/>
      <c r="F5" s="6"/>
      <c r="G5" s="6"/>
      <c r="H5" s="5"/>
      <c r="I5" s="5"/>
    </row>
    <row r="6" spans="2:13" s="4" customFormat="1" x14ac:dyDescent="0.2">
      <c r="B6" s="4" t="s">
        <v>7</v>
      </c>
      <c r="D6" s="5"/>
      <c r="E6" s="5"/>
      <c r="F6" s="6"/>
      <c r="G6" s="6"/>
      <c r="H6" s="5"/>
      <c r="I6" s="5"/>
    </row>
    <row r="7" spans="2:13" s="4" customFormat="1" x14ac:dyDescent="0.2">
      <c r="B7" s="4" t="s">
        <v>8</v>
      </c>
      <c r="C7" s="4" t="s">
        <v>18</v>
      </c>
      <c r="D7" s="5"/>
      <c r="E7" s="5"/>
      <c r="F7" s="6"/>
      <c r="G7" s="6"/>
      <c r="H7" s="5"/>
      <c r="I7" s="5"/>
    </row>
    <row r="8" spans="2:13" s="4" customFormat="1" x14ac:dyDescent="0.2">
      <c r="B8" s="4" t="s">
        <v>19</v>
      </c>
      <c r="C8" s="8">
        <v>45992</v>
      </c>
      <c r="D8" s="5"/>
      <c r="E8" s="5"/>
      <c r="F8" s="6"/>
      <c r="G8" s="6"/>
      <c r="H8" s="5"/>
      <c r="I8" s="5"/>
    </row>
    <row r="9" spans="2:13" s="4" customFormat="1" x14ac:dyDescent="0.2">
      <c r="B9" s="4" t="s">
        <v>26</v>
      </c>
      <c r="C9" s="8">
        <v>46081</v>
      </c>
      <c r="D9" s="5"/>
      <c r="E9" s="5"/>
      <c r="F9" s="6"/>
      <c r="G9" s="6"/>
      <c r="H9" s="5"/>
      <c r="I9" s="5"/>
    </row>
    <row r="10" spans="2:13" s="4" customFormat="1" x14ac:dyDescent="0.2">
      <c r="B10" s="4" t="s">
        <v>27</v>
      </c>
      <c r="C10" s="8" t="s">
        <v>28</v>
      </c>
      <c r="D10" s="5"/>
      <c r="E10" s="5"/>
      <c r="F10" s="6"/>
      <c r="G10" s="6"/>
      <c r="H10" s="5"/>
      <c r="I10" s="5"/>
    </row>
    <row r="11" spans="2:13" s="4" customFormat="1" ht="7" customHeight="1" x14ac:dyDescent="0.2">
      <c r="D11" s="5"/>
      <c r="E11" s="5"/>
      <c r="F11" s="6"/>
      <c r="G11" s="6"/>
      <c r="H11" s="5"/>
      <c r="I11" s="5"/>
    </row>
    <row r="12" spans="2:13" s="4" customFormat="1" x14ac:dyDescent="0.2">
      <c r="B12" s="9"/>
      <c r="C12" s="9"/>
      <c r="D12" s="10"/>
      <c r="E12" s="10"/>
      <c r="F12" s="11"/>
      <c r="G12" s="11"/>
      <c r="H12" s="10"/>
      <c r="I12" s="10"/>
      <c r="J12" s="9"/>
      <c r="K12" s="12"/>
      <c r="L12" s="12"/>
      <c r="M12" s="12"/>
    </row>
    <row r="13" spans="2:13" s="15" customFormat="1" ht="51" x14ac:dyDescent="0.2">
      <c r="B13" s="13" t="s">
        <v>0</v>
      </c>
      <c r="C13" s="13" t="s">
        <v>1</v>
      </c>
      <c r="D13" s="14" t="s">
        <v>2</v>
      </c>
      <c r="E13" s="14" t="s">
        <v>30</v>
      </c>
      <c r="F13" s="45" t="s">
        <v>35</v>
      </c>
      <c r="G13" s="45" t="s">
        <v>3</v>
      </c>
      <c r="H13" s="14" t="s">
        <v>36</v>
      </c>
      <c r="I13" s="14" t="s">
        <v>37</v>
      </c>
      <c r="J13" s="14" t="s">
        <v>38</v>
      </c>
      <c r="K13" s="14" t="s">
        <v>12</v>
      </c>
      <c r="L13" s="14" t="s">
        <v>39</v>
      </c>
      <c r="M13" s="14" t="s">
        <v>40</v>
      </c>
    </row>
    <row r="14" spans="2:13" s="4" customFormat="1" x14ac:dyDescent="0.2">
      <c r="B14" s="16" t="s">
        <v>79</v>
      </c>
      <c r="C14" s="16"/>
      <c r="D14" s="17"/>
      <c r="E14" s="17"/>
      <c r="F14" s="18"/>
      <c r="G14" s="18"/>
      <c r="H14" s="17"/>
      <c r="I14" s="17"/>
      <c r="J14" s="16"/>
      <c r="K14" s="19"/>
      <c r="L14" s="19"/>
      <c r="M14" s="19"/>
    </row>
    <row r="15" spans="2:13" s="15" customFormat="1" x14ac:dyDescent="0.2">
      <c r="B15" s="20" t="s">
        <v>52</v>
      </c>
      <c r="C15" s="21" t="s">
        <v>53</v>
      </c>
      <c r="D15" s="22">
        <v>2</v>
      </c>
      <c r="E15" s="22"/>
      <c r="F15" s="23">
        <v>0</v>
      </c>
      <c r="G15" s="23"/>
      <c r="H15" s="24"/>
      <c r="I15" s="24"/>
      <c r="J15" s="23"/>
      <c r="K15" s="25"/>
      <c r="L15" s="25"/>
      <c r="M15" s="23"/>
    </row>
    <row r="16" spans="2:13" s="15" customFormat="1" x14ac:dyDescent="0.2">
      <c r="B16" s="20" t="s">
        <v>54</v>
      </c>
      <c r="C16" s="21" t="s">
        <v>55</v>
      </c>
      <c r="D16" s="22">
        <v>4</v>
      </c>
      <c r="E16" s="22"/>
      <c r="F16" s="23">
        <v>0</v>
      </c>
      <c r="G16" s="23"/>
      <c r="H16" s="24"/>
      <c r="I16" s="24"/>
      <c r="J16" s="23"/>
      <c r="K16" s="25"/>
      <c r="L16" s="25"/>
      <c r="M16" s="23"/>
    </row>
    <row r="17" spans="2:15" s="15" customFormat="1" x14ac:dyDescent="0.2">
      <c r="B17" s="20" t="s">
        <v>56</v>
      </c>
      <c r="C17" s="21" t="s">
        <v>57</v>
      </c>
      <c r="D17" s="22">
        <v>2</v>
      </c>
      <c r="E17" s="22" t="s">
        <v>34</v>
      </c>
      <c r="F17" s="23">
        <v>69002.7</v>
      </c>
      <c r="G17" s="23">
        <f t="shared" ref="G17" si="0">D17*F17</f>
        <v>138005.4</v>
      </c>
      <c r="H17" s="24">
        <v>0.6</v>
      </c>
      <c r="I17" s="23">
        <f>F17*(1-H17)</f>
        <v>27601.08</v>
      </c>
      <c r="J17" s="23">
        <f>I17*D17</f>
        <v>55202.16</v>
      </c>
      <c r="K17" s="25">
        <v>0.65669999999999995</v>
      </c>
      <c r="L17" s="23">
        <f>F17*(1-K17)</f>
        <v>23688.626910000003</v>
      </c>
      <c r="M17" s="23">
        <f>ROUND(G17-(G17*K17),2)</f>
        <v>47377.25</v>
      </c>
    </row>
    <row r="18" spans="2:15" s="15" customFormat="1" x14ac:dyDescent="0.2">
      <c r="B18" s="20" t="s">
        <v>58</v>
      </c>
      <c r="C18" s="21" t="s">
        <v>59</v>
      </c>
      <c r="D18" s="22">
        <v>24</v>
      </c>
      <c r="E18" s="22" t="s">
        <v>31</v>
      </c>
      <c r="F18" s="23">
        <v>36154.97</v>
      </c>
      <c r="G18" s="23">
        <f t="shared" ref="G18" si="1">D18*F18</f>
        <v>867719.28</v>
      </c>
      <c r="H18" s="24">
        <v>0.2</v>
      </c>
      <c r="I18" s="23">
        <f t="shared" ref="I18:I34" si="2">F18*(1-H18)</f>
        <v>28923.976000000002</v>
      </c>
      <c r="J18" s="23">
        <f>I18*D18</f>
        <v>694175.42400000012</v>
      </c>
      <c r="K18" s="25">
        <v>0.65669999999999995</v>
      </c>
      <c r="L18" s="23">
        <f t="shared" ref="L18:L34" si="3">F18*(1-K18)</f>
        <v>12412.001201000003</v>
      </c>
      <c r="M18" s="23">
        <f>ROUND(G18-(G18*K18),2)</f>
        <v>297888.03000000003</v>
      </c>
    </row>
    <row r="19" spans="2:15" s="15" customFormat="1" x14ac:dyDescent="0.2">
      <c r="B19" s="20" t="s">
        <v>60</v>
      </c>
      <c r="C19" s="21" t="s">
        <v>61</v>
      </c>
      <c r="D19" s="22">
        <v>734</v>
      </c>
      <c r="E19" s="22" t="s">
        <v>32</v>
      </c>
      <c r="F19" s="23">
        <v>5348.73</v>
      </c>
      <c r="G19" s="23">
        <f t="shared" ref="G19:G34" si="4">D19*F19</f>
        <v>3925967.82</v>
      </c>
      <c r="H19" s="24">
        <v>0.3</v>
      </c>
      <c r="I19" s="23">
        <f t="shared" si="2"/>
        <v>3744.1109999999994</v>
      </c>
      <c r="J19" s="23">
        <f t="shared" ref="J19:J34" si="5">I19*D19</f>
        <v>2748177.4739999995</v>
      </c>
      <c r="K19" s="25">
        <v>0.65669999999999995</v>
      </c>
      <c r="L19" s="23">
        <f t="shared" si="3"/>
        <v>1836.2190090000001</v>
      </c>
      <c r="M19" s="23">
        <f>ROUND(G19-(G19*K19),2)</f>
        <v>1347784.75</v>
      </c>
      <c r="O19" s="26"/>
    </row>
    <row r="20" spans="2:15" s="15" customFormat="1" x14ac:dyDescent="0.2">
      <c r="B20" s="20" t="s">
        <v>48</v>
      </c>
      <c r="C20" s="21" t="s">
        <v>22</v>
      </c>
      <c r="D20" s="22">
        <v>12</v>
      </c>
      <c r="E20" s="22" t="s">
        <v>31</v>
      </c>
      <c r="F20" s="23">
        <v>8302.1</v>
      </c>
      <c r="G20" s="23">
        <f t="shared" ref="G20:G28" si="6">D20*F20</f>
        <v>99625.200000000012</v>
      </c>
      <c r="H20" s="24">
        <v>0.2</v>
      </c>
      <c r="I20" s="23">
        <f t="shared" ref="I20:I28" si="7">F20*(1-H20)</f>
        <v>6641.68</v>
      </c>
      <c r="J20" s="23">
        <f t="shared" ref="J20:J28" si="8">I20*D20</f>
        <v>79700.160000000003</v>
      </c>
      <c r="K20" s="25">
        <v>0.65669999999999995</v>
      </c>
      <c r="L20" s="23">
        <f t="shared" ref="L20:L28" si="9">F20*(1-K20)</f>
        <v>2850.1109300000007</v>
      </c>
      <c r="M20" s="23">
        <f t="shared" ref="M20:M28" si="10">ROUND(G20-(G20*K20),2)</f>
        <v>34201.33</v>
      </c>
    </row>
    <row r="21" spans="2:15" s="15" customFormat="1" x14ac:dyDescent="0.2">
      <c r="B21" s="20" t="s">
        <v>62</v>
      </c>
      <c r="C21" s="21" t="s">
        <v>63</v>
      </c>
      <c r="D21" s="22">
        <v>4</v>
      </c>
      <c r="E21" s="22" t="s">
        <v>31</v>
      </c>
      <c r="F21" s="23">
        <v>6941.1</v>
      </c>
      <c r="G21" s="23">
        <f t="shared" si="6"/>
        <v>27764.400000000001</v>
      </c>
      <c r="H21" s="24">
        <v>0.2</v>
      </c>
      <c r="I21" s="23">
        <f t="shared" si="7"/>
        <v>5552.880000000001</v>
      </c>
      <c r="J21" s="23">
        <f t="shared" si="8"/>
        <v>22211.520000000004</v>
      </c>
      <c r="K21" s="25">
        <v>0.65669999999999995</v>
      </c>
      <c r="L21" s="23">
        <f t="shared" si="9"/>
        <v>2382.8796300000004</v>
      </c>
      <c r="M21" s="23">
        <f t="shared" si="10"/>
        <v>9531.52</v>
      </c>
    </row>
    <row r="22" spans="2:15" s="15" customFormat="1" x14ac:dyDescent="0.2">
      <c r="B22" s="20" t="s">
        <v>64</v>
      </c>
      <c r="C22" s="21" t="s">
        <v>65</v>
      </c>
      <c r="D22" s="22">
        <v>4</v>
      </c>
      <c r="E22" s="22"/>
      <c r="F22" s="23">
        <v>0</v>
      </c>
      <c r="G22" s="23">
        <f t="shared" si="6"/>
        <v>0</v>
      </c>
      <c r="H22" s="24"/>
      <c r="I22" s="23">
        <f t="shared" si="7"/>
        <v>0</v>
      </c>
      <c r="J22" s="23">
        <f t="shared" si="8"/>
        <v>0</v>
      </c>
      <c r="K22" s="25"/>
      <c r="L22" s="23">
        <f t="shared" si="9"/>
        <v>0</v>
      </c>
      <c r="M22" s="23">
        <f t="shared" si="10"/>
        <v>0</v>
      </c>
    </row>
    <row r="23" spans="2:15" s="15" customFormat="1" x14ac:dyDescent="0.2">
      <c r="B23" s="20" t="s">
        <v>66</v>
      </c>
      <c r="C23" s="21" t="s">
        <v>67</v>
      </c>
      <c r="D23" s="22">
        <v>16</v>
      </c>
      <c r="E23" s="22"/>
      <c r="F23" s="23">
        <v>0</v>
      </c>
      <c r="G23" s="23">
        <f t="shared" si="6"/>
        <v>0</v>
      </c>
      <c r="H23" s="24"/>
      <c r="I23" s="23">
        <f t="shared" si="7"/>
        <v>0</v>
      </c>
      <c r="J23" s="23">
        <f t="shared" si="8"/>
        <v>0</v>
      </c>
      <c r="K23" s="25"/>
      <c r="L23" s="23">
        <f t="shared" si="9"/>
        <v>0</v>
      </c>
      <c r="M23" s="23">
        <f t="shared" si="10"/>
        <v>0</v>
      </c>
    </row>
    <row r="24" spans="2:15" s="15" customFormat="1" x14ac:dyDescent="0.2">
      <c r="B24" s="20" t="s">
        <v>68</v>
      </c>
      <c r="C24" s="21" t="s">
        <v>69</v>
      </c>
      <c r="D24" s="22">
        <v>16</v>
      </c>
      <c r="E24" s="22"/>
      <c r="F24" s="23">
        <v>0</v>
      </c>
      <c r="G24" s="23">
        <f t="shared" si="6"/>
        <v>0</v>
      </c>
      <c r="H24" s="24"/>
      <c r="I24" s="23">
        <f t="shared" si="7"/>
        <v>0</v>
      </c>
      <c r="J24" s="23">
        <f t="shared" si="8"/>
        <v>0</v>
      </c>
      <c r="K24" s="25"/>
      <c r="L24" s="23">
        <f t="shared" si="9"/>
        <v>0</v>
      </c>
      <c r="M24" s="23">
        <f t="shared" si="10"/>
        <v>0</v>
      </c>
    </row>
    <row r="25" spans="2:15" s="15" customFormat="1" x14ac:dyDescent="0.2">
      <c r="B25" s="20" t="s">
        <v>43</v>
      </c>
      <c r="C25" s="21" t="s">
        <v>44</v>
      </c>
      <c r="D25" s="22">
        <v>2</v>
      </c>
      <c r="E25" s="22"/>
      <c r="F25" s="23">
        <v>0</v>
      </c>
      <c r="G25" s="23">
        <f t="shared" si="6"/>
        <v>0</v>
      </c>
      <c r="H25" s="24"/>
      <c r="I25" s="23">
        <f t="shared" si="7"/>
        <v>0</v>
      </c>
      <c r="J25" s="23">
        <f t="shared" si="8"/>
        <v>0</v>
      </c>
      <c r="K25" s="25"/>
      <c r="L25" s="23">
        <f t="shared" si="9"/>
        <v>0</v>
      </c>
      <c r="M25" s="23">
        <f t="shared" si="10"/>
        <v>0</v>
      </c>
    </row>
    <row r="26" spans="2:15" s="15" customFormat="1" x14ac:dyDescent="0.2">
      <c r="B26" s="20" t="s">
        <v>23</v>
      </c>
      <c r="C26" s="21" t="s">
        <v>24</v>
      </c>
      <c r="D26" s="22">
        <v>4</v>
      </c>
      <c r="E26" s="22"/>
      <c r="F26" s="23">
        <v>0</v>
      </c>
      <c r="G26" s="23">
        <f t="shared" si="6"/>
        <v>0</v>
      </c>
      <c r="H26" s="24"/>
      <c r="I26" s="23">
        <f t="shared" si="7"/>
        <v>0</v>
      </c>
      <c r="J26" s="23">
        <f t="shared" si="8"/>
        <v>0</v>
      </c>
      <c r="K26" s="25"/>
      <c r="L26" s="23">
        <f t="shared" si="9"/>
        <v>0</v>
      </c>
      <c r="M26" s="23">
        <f t="shared" si="10"/>
        <v>0</v>
      </c>
    </row>
    <row r="27" spans="2:15" s="15" customFormat="1" x14ac:dyDescent="0.2">
      <c r="B27" s="20" t="s">
        <v>45</v>
      </c>
      <c r="C27" s="21" t="s">
        <v>46</v>
      </c>
      <c r="D27" s="22">
        <v>4</v>
      </c>
      <c r="E27" s="22"/>
      <c r="F27" s="23">
        <v>0</v>
      </c>
      <c r="G27" s="23">
        <f t="shared" si="6"/>
        <v>0</v>
      </c>
      <c r="H27" s="24"/>
      <c r="I27" s="23">
        <f t="shared" si="7"/>
        <v>0</v>
      </c>
      <c r="J27" s="23">
        <f t="shared" si="8"/>
        <v>0</v>
      </c>
      <c r="K27" s="25"/>
      <c r="L27" s="23">
        <f t="shared" si="9"/>
        <v>0</v>
      </c>
      <c r="M27" s="23">
        <f t="shared" si="10"/>
        <v>0</v>
      </c>
    </row>
    <row r="28" spans="2:15" s="15" customFormat="1" x14ac:dyDescent="0.2">
      <c r="B28" s="20" t="s">
        <v>20</v>
      </c>
      <c r="C28" s="21" t="s">
        <v>21</v>
      </c>
      <c r="D28" s="22">
        <v>4</v>
      </c>
      <c r="E28" s="22"/>
      <c r="F28" s="23">
        <v>0</v>
      </c>
      <c r="G28" s="23">
        <f t="shared" si="6"/>
        <v>0</v>
      </c>
      <c r="H28" s="24"/>
      <c r="I28" s="23">
        <f t="shared" si="7"/>
        <v>0</v>
      </c>
      <c r="J28" s="23">
        <f t="shared" si="8"/>
        <v>0</v>
      </c>
      <c r="K28" s="25"/>
      <c r="L28" s="23">
        <f t="shared" si="9"/>
        <v>0</v>
      </c>
      <c r="M28" s="23">
        <f t="shared" si="10"/>
        <v>0</v>
      </c>
    </row>
    <row r="29" spans="2:15" s="15" customFormat="1" x14ac:dyDescent="0.2">
      <c r="B29" s="20" t="s">
        <v>70</v>
      </c>
      <c r="C29" s="21" t="s">
        <v>13</v>
      </c>
      <c r="D29" s="22">
        <v>2</v>
      </c>
      <c r="E29" s="22" t="s">
        <v>33</v>
      </c>
      <c r="F29" s="23">
        <v>616461.62</v>
      </c>
      <c r="G29" s="23">
        <f t="shared" si="4"/>
        <v>1232923.24</v>
      </c>
      <c r="H29" s="24">
        <v>0.1</v>
      </c>
      <c r="I29" s="23">
        <f t="shared" si="2"/>
        <v>554815.45799999998</v>
      </c>
      <c r="J29" s="23">
        <f t="shared" si="5"/>
        <v>1109630.916</v>
      </c>
      <c r="K29" s="25">
        <v>0.65669999999999995</v>
      </c>
      <c r="L29" s="23">
        <f t="shared" si="3"/>
        <v>211631.27414600004</v>
      </c>
      <c r="M29" s="23">
        <f t="shared" ref="M29:M34" si="11">ROUND(G29-(G29*K29),2)</f>
        <v>423262.55</v>
      </c>
    </row>
    <row r="30" spans="2:15" s="15" customFormat="1" x14ac:dyDescent="0.2">
      <c r="B30" s="20" t="s">
        <v>71</v>
      </c>
      <c r="C30" s="21" t="s">
        <v>49</v>
      </c>
      <c r="D30" s="22">
        <v>2</v>
      </c>
      <c r="E30" s="22" t="s">
        <v>33</v>
      </c>
      <c r="F30" s="23">
        <v>123292.26</v>
      </c>
      <c r="G30" s="23">
        <f t="shared" si="4"/>
        <v>246584.52</v>
      </c>
      <c r="H30" s="24">
        <v>0.1</v>
      </c>
      <c r="I30" s="23">
        <f t="shared" si="2"/>
        <v>110963.034</v>
      </c>
      <c r="J30" s="23">
        <f t="shared" si="5"/>
        <v>221926.068</v>
      </c>
      <c r="K30" s="25">
        <v>0.65669999999999995</v>
      </c>
      <c r="L30" s="23">
        <f t="shared" si="3"/>
        <v>42326.232858000003</v>
      </c>
      <c r="M30" s="23">
        <f t="shared" si="11"/>
        <v>84652.47</v>
      </c>
    </row>
    <row r="31" spans="2:15" s="15" customFormat="1" x14ac:dyDescent="0.2">
      <c r="B31" s="20" t="s">
        <v>72</v>
      </c>
      <c r="C31" s="21" t="s">
        <v>47</v>
      </c>
      <c r="D31" s="22">
        <v>2</v>
      </c>
      <c r="E31" s="22" t="s">
        <v>33</v>
      </c>
      <c r="F31" s="23">
        <v>65078.95</v>
      </c>
      <c r="G31" s="23">
        <f t="shared" si="4"/>
        <v>130157.9</v>
      </c>
      <c r="H31" s="24">
        <v>0.1</v>
      </c>
      <c r="I31" s="23">
        <f t="shared" si="2"/>
        <v>58571.055</v>
      </c>
      <c r="J31" s="23">
        <f t="shared" si="5"/>
        <v>117142.11</v>
      </c>
      <c r="K31" s="25">
        <v>0.65669999999999995</v>
      </c>
      <c r="L31" s="23">
        <f t="shared" si="3"/>
        <v>22341.603535000002</v>
      </c>
      <c r="M31" s="23">
        <f t="shared" si="11"/>
        <v>44683.21</v>
      </c>
    </row>
    <row r="32" spans="2:15" s="15" customFormat="1" x14ac:dyDescent="0.2">
      <c r="B32" s="20" t="s">
        <v>73</v>
      </c>
      <c r="C32" s="21" t="s">
        <v>74</v>
      </c>
      <c r="D32" s="22">
        <v>2</v>
      </c>
      <c r="E32" s="22"/>
      <c r="F32" s="23">
        <v>0</v>
      </c>
      <c r="G32" s="23">
        <f t="shared" si="4"/>
        <v>0</v>
      </c>
      <c r="H32" s="24"/>
      <c r="I32" s="23">
        <f t="shared" si="2"/>
        <v>0</v>
      </c>
      <c r="J32" s="23">
        <f t="shared" si="5"/>
        <v>0</v>
      </c>
      <c r="K32" s="25"/>
      <c r="L32" s="23">
        <f t="shared" si="3"/>
        <v>0</v>
      </c>
      <c r="M32" s="23">
        <f t="shared" si="11"/>
        <v>0</v>
      </c>
    </row>
    <row r="33" spans="2:13" s="15" customFormat="1" x14ac:dyDescent="0.2">
      <c r="B33" s="20" t="s">
        <v>75</v>
      </c>
      <c r="C33" s="21" t="s">
        <v>76</v>
      </c>
      <c r="D33" s="22">
        <v>2</v>
      </c>
      <c r="E33" s="22"/>
      <c r="F33" s="23">
        <v>0</v>
      </c>
      <c r="G33" s="23">
        <f t="shared" si="4"/>
        <v>0</v>
      </c>
      <c r="H33" s="24"/>
      <c r="I33" s="23">
        <f t="shared" si="2"/>
        <v>0</v>
      </c>
      <c r="J33" s="23">
        <f t="shared" si="5"/>
        <v>0</v>
      </c>
      <c r="K33" s="25"/>
      <c r="L33" s="23">
        <f t="shared" si="3"/>
        <v>0</v>
      </c>
      <c r="M33" s="23">
        <f t="shared" si="11"/>
        <v>0</v>
      </c>
    </row>
    <row r="34" spans="2:13" s="15" customFormat="1" x14ac:dyDescent="0.2">
      <c r="B34" s="20" t="s">
        <v>77</v>
      </c>
      <c r="C34" s="21" t="s">
        <v>78</v>
      </c>
      <c r="D34" s="22">
        <v>5</v>
      </c>
      <c r="E34" s="22" t="s">
        <v>33</v>
      </c>
      <c r="F34" s="23">
        <v>5250.33</v>
      </c>
      <c r="G34" s="23">
        <f t="shared" si="4"/>
        <v>26251.65</v>
      </c>
      <c r="H34" s="24">
        <v>0.1</v>
      </c>
      <c r="I34" s="23">
        <f t="shared" si="2"/>
        <v>4725.2970000000005</v>
      </c>
      <c r="J34" s="23">
        <f t="shared" si="5"/>
        <v>23626.485000000001</v>
      </c>
      <c r="K34" s="25">
        <v>0.65669999999999995</v>
      </c>
      <c r="L34" s="23">
        <f t="shared" si="3"/>
        <v>1802.4382890000002</v>
      </c>
      <c r="M34" s="23">
        <f t="shared" si="11"/>
        <v>9012.19</v>
      </c>
    </row>
    <row r="35" spans="2:13" s="15" customFormat="1" x14ac:dyDescent="0.2">
      <c r="B35" s="27"/>
      <c r="C35" s="4"/>
      <c r="D35" s="28"/>
      <c r="E35" s="28"/>
      <c r="F35" s="46" t="s">
        <v>42</v>
      </c>
      <c r="G35" s="32">
        <f>ROUND(SUM(G15:G34),2)</f>
        <v>6694999.4100000001</v>
      </c>
      <c r="H35" s="30"/>
      <c r="I35" s="30"/>
      <c r="J35" s="29"/>
      <c r="L35" s="46" t="s">
        <v>50</v>
      </c>
      <c r="M35" s="32">
        <f>ROUND(SUM(M15:M34),2)</f>
        <v>2298393.2999999998</v>
      </c>
    </row>
    <row r="36" spans="2:13" s="15" customFormat="1" x14ac:dyDescent="0.2">
      <c r="B36" s="27"/>
      <c r="C36" s="35" t="s">
        <v>14</v>
      </c>
      <c r="D36" s="28"/>
      <c r="E36" s="28"/>
      <c r="F36" s="29"/>
      <c r="G36" s="29"/>
      <c r="H36" s="30"/>
      <c r="I36" s="30"/>
      <c r="J36" s="29"/>
      <c r="K36" s="31"/>
      <c r="L36" s="31"/>
      <c r="M36" s="32"/>
    </row>
    <row r="37" spans="2:13" s="15" customFormat="1" x14ac:dyDescent="0.2">
      <c r="B37" s="27"/>
      <c r="C37" s="4"/>
      <c r="D37" s="28"/>
      <c r="E37" s="28"/>
      <c r="F37" s="29"/>
      <c r="G37" s="29"/>
      <c r="H37" s="30"/>
      <c r="I37" s="30"/>
      <c r="J37" s="29"/>
      <c r="K37" s="33"/>
      <c r="L37" s="33"/>
      <c r="M37" s="29"/>
    </row>
    <row r="38" spans="2:13" s="4" customFormat="1" x14ac:dyDescent="0.2">
      <c r="D38" s="5"/>
      <c r="E38" s="5"/>
      <c r="F38" s="6"/>
      <c r="G38" s="6"/>
      <c r="H38" s="34"/>
      <c r="I38" s="34"/>
      <c r="J38" s="6"/>
      <c r="M38" s="37"/>
    </row>
    <row r="39" spans="2:13" s="4" customFormat="1" x14ac:dyDescent="0.2">
      <c r="B39" s="16" t="s">
        <v>10</v>
      </c>
      <c r="C39" s="16"/>
      <c r="D39" s="17"/>
      <c r="E39" s="17"/>
      <c r="F39" s="18"/>
      <c r="G39" s="18"/>
      <c r="H39" s="17"/>
      <c r="I39" s="17"/>
      <c r="J39" s="16"/>
      <c r="K39" s="19"/>
      <c r="L39" s="19"/>
      <c r="M39" s="19"/>
    </row>
    <row r="40" spans="2:13" s="4" customFormat="1" x14ac:dyDescent="0.2">
      <c r="B40" s="38"/>
      <c r="C40" s="38"/>
      <c r="D40" s="39"/>
      <c r="E40" s="39"/>
      <c r="F40" s="40"/>
      <c r="G40" s="40"/>
      <c r="H40" s="39"/>
      <c r="I40" s="39"/>
      <c r="J40" s="38"/>
    </row>
    <row r="41" spans="2:13" s="4" customFormat="1" x14ac:dyDescent="0.2">
      <c r="D41" s="5"/>
      <c r="E41" s="5"/>
      <c r="F41" s="6"/>
      <c r="G41" s="6"/>
      <c r="H41" s="5"/>
      <c r="I41" s="5"/>
      <c r="L41" s="36" t="s">
        <v>11</v>
      </c>
      <c r="M41" s="6">
        <f>G35</f>
        <v>6694999.4100000001</v>
      </c>
    </row>
    <row r="42" spans="2:13" s="4" customFormat="1" x14ac:dyDescent="0.2">
      <c r="D42" s="5"/>
      <c r="E42" s="5"/>
      <c r="F42" s="6"/>
      <c r="G42" s="6"/>
      <c r="H42" s="5"/>
      <c r="I42" s="5"/>
      <c r="L42" s="41" t="s">
        <v>9</v>
      </c>
      <c r="M42" s="6">
        <f>SUM(J17:J35)</f>
        <v>5071792.3170000007</v>
      </c>
    </row>
    <row r="43" spans="2:13" s="4" customFormat="1" x14ac:dyDescent="0.2">
      <c r="D43" s="5"/>
      <c r="E43" s="5"/>
      <c r="F43" s="6"/>
      <c r="G43" s="6"/>
      <c r="H43" s="5"/>
      <c r="I43" s="5"/>
      <c r="L43" s="41"/>
      <c r="M43" s="42"/>
    </row>
    <row r="44" spans="2:13" s="4" customFormat="1" x14ac:dyDescent="0.2">
      <c r="D44" s="5"/>
      <c r="E44" s="5"/>
      <c r="F44" s="6"/>
      <c r="G44" s="6"/>
      <c r="H44" s="5"/>
      <c r="I44" s="5"/>
      <c r="L44" s="41" t="s">
        <v>29</v>
      </c>
      <c r="M44" s="6">
        <f>M35</f>
        <v>2298393.2999999998</v>
      </c>
    </row>
    <row r="45" spans="2:13" s="4" customFormat="1" ht="17" thickBot="1" x14ac:dyDescent="0.25">
      <c r="D45" s="5"/>
      <c r="E45" s="5"/>
      <c r="F45" s="6"/>
      <c r="G45" s="6"/>
      <c r="H45" s="5"/>
      <c r="I45" s="5"/>
      <c r="L45" s="41" t="s">
        <v>41</v>
      </c>
      <c r="M45" s="43">
        <f>M44*0.13</f>
        <v>298791.12899999996</v>
      </c>
    </row>
    <row r="46" spans="2:13" s="4" customFormat="1" x14ac:dyDescent="0.2">
      <c r="D46" s="5"/>
      <c r="E46" s="5"/>
      <c r="F46" s="6"/>
      <c r="G46" s="6"/>
      <c r="H46" s="5"/>
      <c r="I46" s="5"/>
      <c r="L46" s="5"/>
    </row>
    <row r="47" spans="2:13" x14ac:dyDescent="0.2">
      <c r="B47" s="4"/>
      <c r="C47" s="4"/>
      <c r="D47" s="5"/>
      <c r="E47" s="5"/>
      <c r="F47" s="6"/>
      <c r="G47" s="6"/>
      <c r="H47" s="5"/>
      <c r="I47" s="5"/>
      <c r="J47" s="4"/>
      <c r="L47" s="41" t="s">
        <v>25</v>
      </c>
      <c r="M47" s="44">
        <f>SUM(M44:M46)</f>
        <v>2597184.4289999995</v>
      </c>
    </row>
    <row r="48" spans="2:13" x14ac:dyDescent="0.2">
      <c r="B48" s="4"/>
      <c r="C48" s="4"/>
      <c r="D48" s="5"/>
      <c r="E48" s="5"/>
      <c r="F48" s="6"/>
      <c r="G48" s="6"/>
      <c r="H48" s="5"/>
      <c r="I48" s="5"/>
      <c r="J48" s="4"/>
      <c r="K48" s="4"/>
      <c r="L48" s="4"/>
      <c r="M48" s="4"/>
    </row>
    <row r="50" spans="13:13" x14ac:dyDescent="0.2">
      <c r="M50" s="3"/>
    </row>
  </sheetData>
  <mergeCells count="1">
    <mergeCell ref="C1:G1"/>
  </mergeCells>
  <phoneticPr fontId="3" type="noConversion"/>
  <pageMargins left="0.7" right="0.7" top="0.75" bottom="0.75" header="0.3" footer="0.3"/>
  <pageSetup scale="50" fitToHeight="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</vt:lpstr>
      <vt:lpstr>Quote!Print_Titles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Forbes, Chris</cp:lastModifiedBy>
  <cp:lastPrinted>2025-05-14T03:27:25Z</cp:lastPrinted>
  <dcterms:created xsi:type="dcterms:W3CDTF">2016-04-05T13:29:48Z</dcterms:created>
  <dcterms:modified xsi:type="dcterms:W3CDTF">2025-12-01T19:55:16Z</dcterms:modified>
</cp:coreProperties>
</file>